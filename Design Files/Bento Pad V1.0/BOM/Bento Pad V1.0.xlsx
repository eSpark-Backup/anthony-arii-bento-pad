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anthonyarii-bentopad\Design Files\Bento Pad 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36" i="1" l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<sst xmlns="http://schemas.openxmlformats.org/spreadsheetml/2006/main" count="246" uniqueCount="176">
  <si>
    <t>#</t>
  </si>
  <si>
    <t>Item Type</t>
  </si>
  <si>
    <t>Capacitor</t>
  </si>
  <si>
    <t>Capacitors</t>
  </si>
  <si>
    <t>Diode</t>
  </si>
  <si>
    <t>Fuse</t>
  </si>
  <si>
    <t>Ferrite Bead</t>
  </si>
  <si>
    <t>USB Connector</t>
  </si>
  <si>
    <t>Male Header</t>
  </si>
  <si>
    <t>Addressable RGB LED</t>
  </si>
  <si>
    <t>TEST POINT</t>
  </si>
  <si>
    <t>Resistor</t>
  </si>
  <si>
    <t>Resistors</t>
  </si>
  <si>
    <t>Mechanical Keyboard Shaft</t>
  </si>
  <si>
    <t>Switch</t>
  </si>
  <si>
    <t>Slide Switche</t>
  </si>
  <si>
    <t>IC</t>
  </si>
  <si>
    <t>Crystal</t>
  </si>
  <si>
    <t>Designator</t>
  </si>
  <si>
    <t>C1</t>
  </si>
  <si>
    <t>C2</t>
  </si>
  <si>
    <t>C3</t>
  </si>
  <si>
    <t>C4</t>
  </si>
  <si>
    <t>C5</t>
  </si>
  <si>
    <t>C6</t>
  </si>
  <si>
    <t>C7</t>
  </si>
  <si>
    <t>C8</t>
  </si>
  <si>
    <t>C9, C10, C11, C12, C14, C17, C23, C24, C25, C26, C27, C28, C29, C30, C31, C32, C33, C34, C35, C36, C37, C38, C39, C40, C41, C42, C43, C44</t>
  </si>
  <si>
    <t>C13, C15</t>
  </si>
  <si>
    <t>C16</t>
  </si>
  <si>
    <t>C18, C19, C20, C21, C22, C45, C46</t>
  </si>
  <si>
    <t>D1</t>
  </si>
  <si>
    <t>D2, D3</t>
  </si>
  <si>
    <t>F1</t>
  </si>
  <si>
    <t>FB1</t>
  </si>
  <si>
    <t>FB2</t>
  </si>
  <si>
    <t>J1</t>
  </si>
  <si>
    <t>J2</t>
  </si>
  <si>
    <t>LED1, LED2, LED3, LED4, LED5, LED6</t>
  </si>
  <si>
    <t>P1, P2, P3, P4, P5</t>
  </si>
  <si>
    <t>R1</t>
  </si>
  <si>
    <t>R2, R3</t>
  </si>
  <si>
    <t>R4, R5</t>
  </si>
  <si>
    <t>R6, R8, R9, R10, R11, R12, R13, R14, R15, R16, R17, R18, R19, R20, R21, R22, R23, R24, R25, R26, R27, R28, R29, R30, R31</t>
  </si>
  <si>
    <t>R7</t>
  </si>
  <si>
    <t>R33</t>
  </si>
  <si>
    <t>SW1, SW2, SW3, SW4, SW5, SW6, SW7, SW8, SW9, SW10, SW11, SW12, SW13, SW14, SW15, SW16, SW17, SW18, SW19, SW20, SW21</t>
  </si>
  <si>
    <t>SW22</t>
  </si>
  <si>
    <t>SW23, SW24</t>
  </si>
  <si>
    <t>U1</t>
  </si>
  <si>
    <t>U2</t>
  </si>
  <si>
    <t>U3</t>
  </si>
  <si>
    <t>X1</t>
  </si>
  <si>
    <t>Description</t>
  </si>
  <si>
    <t>CAP CER 4700PF 50V X7R 0402</t>
  </si>
  <si>
    <t>CAP CER 10000PF 50V C0G/NPO 0603</t>
  </si>
  <si>
    <t>CAP CER 1UF 16V X5R 0402</t>
  </si>
  <si>
    <t>CAP CER 10UF 25V X5R 0603</t>
  </si>
  <si>
    <t>CAP CER 2.2UF 25V X5R 0402</t>
  </si>
  <si>
    <t>CAP CER 10UF 10V X5R 0402</t>
  </si>
  <si>
    <t>CAP CER 10000PF 50V X7R 0402</t>
  </si>
  <si>
    <t>CAP CER 22UF 10V X5R 0603</t>
  </si>
  <si>
    <t>CAP CER 0.1UF 50V X7R 0402</t>
  </si>
  <si>
    <t>CAP CER 30PF 50V C0G/NPO 0402</t>
  </si>
  <si>
    <t>CAP CER 1UF 35V X5R 0402</t>
  </si>
  <si>
    <t>CAP CER 0.1UF 25V X7R 0402</t>
  </si>
  <si>
    <t>TVS DIODE 5VWM 6.3VC DSN0603-2</t>
  </si>
  <si>
    <t>TVS DIODE 5V 9.8V SOD923</t>
  </si>
  <si>
    <t>6V 2A 50A 1W -40℃~+85℃ 4A 4mΩ 5s 45mΩ 0805 Resettable Fuses ROHS</t>
  </si>
  <si>
    <t>FERRITE BEAD 120 OHM 1206 1LN</t>
  </si>
  <si>
    <t>FERRITE BEAD 1K OHM 0805 1LN</t>
  </si>
  <si>
    <t>5A 1 16P Female Type-C SMD USB Connectors ROHS</t>
  </si>
  <si>
    <t>Gold 250V 3A Straight Square Pins 2.5mm 4P 260℃ 6mm -40℃~+105℃ 3mm 2.54mm Plugin Black Brass 1x4P Plugin,P=2.54mm Pin Headers ROHS</t>
  </si>
  <si>
    <t>SMD-4P,1.6x4mm Light Emitting Diodes (LED) ROHS</t>
  </si>
  <si>
    <t>Test Point ON</t>
  </si>
  <si>
    <t>RES SMD 1M OHM 5% 1/16W 0402</t>
  </si>
  <si>
    <t>RES 5.1K OHM 1% 1/16W 0402</t>
  </si>
  <si>
    <t>RES SMD 20 OHM 0.1% 1/16W 0402</t>
  </si>
  <si>
    <t>RES 10K OHM 1% 1/16W 0402</t>
  </si>
  <si>
    <t>RES 1M OHM 1% 1/16W 0402</t>
  </si>
  <si>
    <t>RES SMD 220 OHM 1% 1/10W 0603</t>
  </si>
  <si>
    <t>SMD,14.5x5.9mm Mechanical Keyboard Shaft ROHS</t>
  </si>
  <si>
    <t>SWITCH TACTILE SPST-NO 0.05A 12V</t>
  </si>
  <si>
    <t>Surface Mount 1A SPDT 6V Black 10000次 SMD Slide Switches ROHS</t>
  </si>
  <si>
    <t>IC REG LINEAR 3.3V 1A SOT223-6</t>
  </si>
  <si>
    <t>IC MCU 32BIT 256KB FLASH 64LQFP</t>
  </si>
  <si>
    <t>IC BUF NON-INVERT 5.5V SOT23-5</t>
  </si>
  <si>
    <t>8MHz Surface Mount Crystal 20pF ±30ppm ±30ppm HC-49S-SMD Crystals ROHS</t>
  </si>
  <si>
    <t>Footprint</t>
  </si>
  <si>
    <t>Cap-0402</t>
  </si>
  <si>
    <t>Cap-0603</t>
  </si>
  <si>
    <t>cap-0402</t>
  </si>
  <si>
    <t>DSN0603-2</t>
  </si>
  <si>
    <t>SOD-923.</t>
  </si>
  <si>
    <t>Fuse-0805</t>
  </si>
  <si>
    <t>IND-1206</t>
  </si>
  <si>
    <t>Ind-0805</t>
  </si>
  <si>
    <t>HDR1X4_</t>
  </si>
  <si>
    <t>SK6812SIDE-A</t>
  </si>
  <si>
    <t>Test-point</t>
  </si>
  <si>
    <t>Res-0402</t>
  </si>
  <si>
    <t>Res-0603</t>
  </si>
  <si>
    <t>CPG151101S11-16</t>
  </si>
  <si>
    <t>B3U-1000P</t>
  </si>
  <si>
    <t>MK-11C04-G013</t>
  </si>
  <si>
    <t>SOT-223-6_</t>
  </si>
  <si>
    <t>64-LQFP (10x10)</t>
  </si>
  <si>
    <t>SOT-23-5</t>
  </si>
  <si>
    <t>HC-49S-SMD</t>
  </si>
  <si>
    <t>Manufacturer Part Number</t>
  </si>
  <si>
    <t>CC0402KRX7R9BB472</t>
  </si>
  <si>
    <t>CC0603JRNPO9BN103</t>
  </si>
  <si>
    <t>CC0402KRX5R7BB105</t>
  </si>
  <si>
    <t>C1608X5R1E106M080AC</t>
  </si>
  <si>
    <t>GRM155R61E225KE11D</t>
  </si>
  <si>
    <t>CC0402MRX5R6BB106</t>
  </si>
  <si>
    <t>CC0402KRX7R9BB103</t>
  </si>
  <si>
    <t>CC0603MRX5R6BB226</t>
  </si>
  <si>
    <t>C1005X7R1H104KT000F</t>
  </si>
  <si>
    <t>CC0402GRNPO9BN300</t>
  </si>
  <si>
    <t>C1005X5R1V105K050BC</t>
  </si>
  <si>
    <t>GRM155R71E104KE14D</t>
  </si>
  <si>
    <t>PESD5V0H1BSFYL</t>
  </si>
  <si>
    <t>ESD9L5.0ST5G</t>
  </si>
  <si>
    <t>BSMD0805L-200</t>
  </si>
  <si>
    <t>BLM31PG121SN1L</t>
  </si>
  <si>
    <t>MMZ2012R102ATD25</t>
  </si>
  <si>
    <t>TYPE-C-31-M-12</t>
  </si>
  <si>
    <t>X6511WV-04H-C60D30</t>
  </si>
  <si>
    <t>AF0402JR-071ML</t>
  </si>
  <si>
    <t>RC0402FR-075K1L</t>
  </si>
  <si>
    <t>RT0402BRD0720RL</t>
  </si>
  <si>
    <t>RC0402FR-0710KL</t>
  </si>
  <si>
    <t>RC0402FR-071ML</t>
  </si>
  <si>
    <t>RC0603FR-07220RL</t>
  </si>
  <si>
    <t>TPS79633DCQR</t>
  </si>
  <si>
    <t>STM32F103RCT6</t>
  </si>
  <si>
    <t>SN74LV1T34DBVR</t>
  </si>
  <si>
    <t>TAXM8M2GLFBET2T</t>
  </si>
  <si>
    <t>Manufacturer</t>
  </si>
  <si>
    <t>Yageo</t>
  </si>
  <si>
    <t>TDK</t>
  </si>
  <si>
    <t>Murata</t>
  </si>
  <si>
    <t>Nexperia</t>
  </si>
  <si>
    <t>ON Semiconductor</t>
  </si>
  <si>
    <t>BHFUSE</t>
  </si>
  <si>
    <t>Korean Hroparts Elec</t>
  </si>
  <si>
    <t>XKB</t>
  </si>
  <si>
    <t>OPSCO Optoelectronics</t>
  </si>
  <si>
    <t>HanElectricity</t>
  </si>
  <si>
    <t>Omron</t>
  </si>
  <si>
    <t>G-Switch</t>
  </si>
  <si>
    <t>Texas Instruments</t>
  </si>
  <si>
    <t>STMicroelectronics</t>
  </si>
  <si>
    <t>Yajingxin</t>
  </si>
  <si>
    <t>4.7nF</t>
  </si>
  <si>
    <t>10nF</t>
  </si>
  <si>
    <t>1uF</t>
  </si>
  <si>
    <t>10uF</t>
  </si>
  <si>
    <t>2.2uF</t>
  </si>
  <si>
    <t>22uF</t>
  </si>
  <si>
    <t>100nF</t>
  </si>
  <si>
    <t>30pF</t>
  </si>
  <si>
    <t>0.1uF</t>
  </si>
  <si>
    <t>100MHz</t>
  </si>
  <si>
    <t>1M</t>
  </si>
  <si>
    <t>5.1K</t>
  </si>
  <si>
    <t>20R</t>
  </si>
  <si>
    <t>10K</t>
  </si>
  <si>
    <t>220R</t>
  </si>
  <si>
    <t>8MHz</t>
  </si>
  <si>
    <t>Quantity</t>
  </si>
  <si>
    <t>Value</t>
  </si>
  <si>
    <t>Remarks</t>
  </si>
  <si>
    <t>-</t>
  </si>
  <si>
    <t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</si>
</sst>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36"/>
  <sheetViews>
    <sheetView tabSelected="1" workbookViewId="0">
      <selection activeCell="F39" sqref="F39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6.85546875" bestFit="1" customWidth="1"/>
    <col min="10" max="10" width="8.7109375" bestFit="1" customWidth="1"/>
    <col min="11" max="11" width="8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18</v>
      </c>
      <c r="E2" s="6" t="s">
        <v>53</v>
      </c>
      <c r="F2" s="5" t="s">
        <v>88</v>
      </c>
      <c r="G2" s="6" t="s">
        <v>109</v>
      </c>
      <c r="H2" s="5" t="s">
        <v>139</v>
      </c>
      <c r="I2" s="6" t="s">
        <v>172</v>
      </c>
      <c r="J2" s="5" t="s">
        <v>171</v>
      </c>
      <c r="K2" s="5" t="s">
        <v>173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19</v>
      </c>
      <c r="E3" s="8" t="s">
        <v>54</v>
      </c>
      <c r="F3" s="7" t="s">
        <v>89</v>
      </c>
      <c r="G3" s="8" t="s">
        <v>110</v>
      </c>
      <c r="H3" s="7" t="s">
        <v>140</v>
      </c>
      <c r="I3" s="8" t="s">
        <v>155</v>
      </c>
      <c r="J3" s="7">
        <v>1</v>
      </c>
      <c r="K3" s="7"/>
    </row>
    <row r="4" spans="1:11" ht="15.75" thickBot="1" x14ac:dyDescent="0.3">
      <c r="A4" s="1"/>
      <c r="B4" s="11">
        <f t="shared" ref="B4:B36" si="0">ROW(B4) - ROW($B$2)</f>
        <v>2</v>
      </c>
      <c r="C4" s="13" t="s">
        <v>2</v>
      </c>
      <c r="D4" s="9" t="s">
        <v>20</v>
      </c>
      <c r="E4" s="10" t="s">
        <v>55</v>
      </c>
      <c r="F4" s="9" t="s">
        <v>90</v>
      </c>
      <c r="G4" s="10" t="s">
        <v>111</v>
      </c>
      <c r="H4" s="9" t="s">
        <v>140</v>
      </c>
      <c r="I4" s="10" t="s">
        <v>156</v>
      </c>
      <c r="J4" s="9">
        <v>1</v>
      </c>
      <c r="K4" s="9"/>
    </row>
    <row r="5" spans="1:11" ht="15.75" thickBot="1" x14ac:dyDescent="0.3">
      <c r="A5" s="1"/>
      <c r="B5" s="11">
        <f>ROW(B5) - ROW($B$2)</f>
        <v>3</v>
      </c>
      <c r="C5" s="12" t="s">
        <v>2</v>
      </c>
      <c r="D5" s="7" t="s">
        <v>21</v>
      </c>
      <c r="E5" s="8" t="s">
        <v>56</v>
      </c>
      <c r="F5" s="7" t="s">
        <v>89</v>
      </c>
      <c r="G5" s="8" t="s">
        <v>112</v>
      </c>
      <c r="H5" s="7" t="s">
        <v>140</v>
      </c>
      <c r="I5" s="8" t="s">
        <v>157</v>
      </c>
      <c r="J5" s="7">
        <v>1</v>
      </c>
      <c r="K5" s="7"/>
    </row>
    <row r="6" spans="1:11" ht="15.75" thickBot="1" x14ac:dyDescent="0.3">
      <c r="A6" s="1"/>
      <c r="B6" s="11">
        <f t="shared" si="0"/>
        <v>4</v>
      </c>
      <c r="C6" s="13" t="s">
        <v>2</v>
      </c>
      <c r="D6" s="9" t="s">
        <v>22</v>
      </c>
      <c r="E6" s="10" t="s">
        <v>57</v>
      </c>
      <c r="F6" s="9" t="s">
        <v>90</v>
      </c>
      <c r="G6" s="10" t="s">
        <v>113</v>
      </c>
      <c r="H6" s="9" t="s">
        <v>141</v>
      </c>
      <c r="I6" s="10" t="s">
        <v>158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2" t="s">
        <v>2</v>
      </c>
      <c r="D7" s="7" t="s">
        <v>23</v>
      </c>
      <c r="E7" s="8" t="s">
        <v>58</v>
      </c>
      <c r="F7" s="7" t="s">
        <v>89</v>
      </c>
      <c r="G7" s="8" t="s">
        <v>114</v>
      </c>
      <c r="H7" s="7" t="s">
        <v>142</v>
      </c>
      <c r="I7" s="8" t="s">
        <v>159</v>
      </c>
      <c r="J7" s="7">
        <v>1</v>
      </c>
      <c r="K7" s="7"/>
    </row>
    <row r="8" spans="1:11" ht="15.75" thickBot="1" x14ac:dyDescent="0.3">
      <c r="A8" s="1"/>
      <c r="B8" s="11">
        <f t="shared" si="0"/>
        <v>6</v>
      </c>
      <c r="C8" s="13" t="s">
        <v>2</v>
      </c>
      <c r="D8" s="9" t="s">
        <v>24</v>
      </c>
      <c r="E8" s="10" t="s">
        <v>59</v>
      </c>
      <c r="F8" s="9" t="s">
        <v>89</v>
      </c>
      <c r="G8" s="10" t="s">
        <v>115</v>
      </c>
      <c r="H8" s="9" t="s">
        <v>140</v>
      </c>
      <c r="I8" s="10" t="s">
        <v>158</v>
      </c>
      <c r="J8" s="9">
        <v>1</v>
      </c>
      <c r="K8" s="9"/>
    </row>
    <row r="9" spans="1:11" ht="15.75" thickBot="1" x14ac:dyDescent="0.3">
      <c r="A9" s="1"/>
      <c r="B9" s="11">
        <f>ROW(B9) - ROW($B$2)</f>
        <v>7</v>
      </c>
      <c r="C9" s="12" t="s">
        <v>2</v>
      </c>
      <c r="D9" s="7" t="s">
        <v>25</v>
      </c>
      <c r="E9" s="8" t="s">
        <v>60</v>
      </c>
      <c r="F9" s="7" t="s">
        <v>89</v>
      </c>
      <c r="G9" s="8" t="s">
        <v>116</v>
      </c>
      <c r="H9" s="7" t="s">
        <v>140</v>
      </c>
      <c r="I9" s="8" t="s">
        <v>156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3" t="s">
        <v>2</v>
      </c>
      <c r="D10" s="9" t="s">
        <v>26</v>
      </c>
      <c r="E10" s="10" t="s">
        <v>61</v>
      </c>
      <c r="F10" s="9" t="s">
        <v>90</v>
      </c>
      <c r="G10" s="10" t="s">
        <v>117</v>
      </c>
      <c r="H10" s="9" t="s">
        <v>140</v>
      </c>
      <c r="I10" s="10" t="s">
        <v>160</v>
      </c>
      <c r="J10" s="9">
        <v>1</v>
      </c>
      <c r="K10" s="9"/>
    </row>
    <row r="11" spans="1:11" ht="36.75" thickBot="1" x14ac:dyDescent="0.3">
      <c r="A11" s="1"/>
      <c r="B11" s="11">
        <f>ROW(B11) - ROW($B$2)</f>
        <v>9</v>
      </c>
      <c r="C11" s="12" t="s">
        <v>2</v>
      </c>
      <c r="D11" s="7" t="s">
        <v>27</v>
      </c>
      <c r="E11" s="8" t="s">
        <v>62</v>
      </c>
      <c r="F11" s="7" t="s">
        <v>91</v>
      </c>
      <c r="G11" s="8" t="s">
        <v>118</v>
      </c>
      <c r="H11" s="7" t="s">
        <v>141</v>
      </c>
      <c r="I11" s="8" t="s">
        <v>161</v>
      </c>
      <c r="J11" s="7">
        <v>28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2</v>
      </c>
      <c r="D12" s="9" t="s">
        <v>28</v>
      </c>
      <c r="E12" s="10" t="s">
        <v>63</v>
      </c>
      <c r="F12" s="9" t="s">
        <v>89</v>
      </c>
      <c r="G12" s="10" t="s">
        <v>119</v>
      </c>
      <c r="H12" s="9" t="s">
        <v>140</v>
      </c>
      <c r="I12" s="10" t="s">
        <v>162</v>
      </c>
      <c r="J12" s="9">
        <v>2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3</v>
      </c>
      <c r="D13" s="7" t="s">
        <v>29</v>
      </c>
      <c r="E13" s="8" t="s">
        <v>64</v>
      </c>
      <c r="F13" s="7" t="s">
        <v>89</v>
      </c>
      <c r="G13" s="8" t="s">
        <v>120</v>
      </c>
      <c r="H13" s="7" t="s">
        <v>141</v>
      </c>
      <c r="I13" s="8" t="s">
        <v>157</v>
      </c>
      <c r="J13" s="7">
        <v>1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3</v>
      </c>
      <c r="D14" s="9" t="s">
        <v>30</v>
      </c>
      <c r="E14" s="10" t="s">
        <v>65</v>
      </c>
      <c r="F14" s="9" t="s">
        <v>89</v>
      </c>
      <c r="G14" s="10" t="s">
        <v>121</v>
      </c>
      <c r="H14" s="9" t="s">
        <v>142</v>
      </c>
      <c r="I14" s="10" t="s">
        <v>163</v>
      </c>
      <c r="J14" s="9">
        <v>7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4</v>
      </c>
      <c r="D15" s="7" t="s">
        <v>31</v>
      </c>
      <c r="E15" s="8" t="s">
        <v>66</v>
      </c>
      <c r="F15" s="7" t="s">
        <v>92</v>
      </c>
      <c r="G15" s="8" t="s">
        <v>122</v>
      </c>
      <c r="H15" s="7" t="s">
        <v>143</v>
      </c>
      <c r="I15" s="8" t="s">
        <v>174</v>
      </c>
      <c r="J15" s="7">
        <v>1</v>
      </c>
      <c r="K15" s="7"/>
    </row>
    <row r="16" spans="1:11" ht="15.75" thickBot="1" x14ac:dyDescent="0.3">
      <c r="A16" s="1"/>
      <c r="B16" s="11">
        <f t="shared" si="0"/>
        <v>14</v>
      </c>
      <c r="C16" s="12" t="s">
        <v>4</v>
      </c>
      <c r="D16" s="9" t="s">
        <v>32</v>
      </c>
      <c r="E16" s="10" t="s">
        <v>67</v>
      </c>
      <c r="F16" s="9" t="s">
        <v>93</v>
      </c>
      <c r="G16" s="10" t="s">
        <v>123</v>
      </c>
      <c r="H16" s="9" t="s">
        <v>144</v>
      </c>
      <c r="I16" s="8" t="s">
        <v>174</v>
      </c>
      <c r="J16" s="9">
        <v>2</v>
      </c>
      <c r="K16" s="9"/>
    </row>
    <row r="17" spans="1:11" ht="24.75" thickBot="1" x14ac:dyDescent="0.3">
      <c r="A17" s="1"/>
      <c r="B17" s="11">
        <f>ROW(B17) - ROW($B$2)</f>
        <v>15</v>
      </c>
      <c r="C17" s="12" t="s">
        <v>5</v>
      </c>
      <c r="D17" s="7" t="s">
        <v>33</v>
      </c>
      <c r="E17" s="8" t="s">
        <v>68</v>
      </c>
      <c r="F17" s="7" t="s">
        <v>94</v>
      </c>
      <c r="G17" s="8" t="s">
        <v>124</v>
      </c>
      <c r="H17" s="7" t="s">
        <v>145</v>
      </c>
      <c r="I17" s="8" t="s">
        <v>174</v>
      </c>
      <c r="J17" s="7">
        <v>1</v>
      </c>
      <c r="K17" s="7"/>
    </row>
    <row r="18" spans="1:11" ht="15.75" thickBot="1" x14ac:dyDescent="0.3">
      <c r="A18" s="1"/>
      <c r="B18" s="11">
        <f t="shared" si="0"/>
        <v>16</v>
      </c>
      <c r="C18" s="13" t="s">
        <v>6</v>
      </c>
      <c r="D18" s="9" t="s">
        <v>34</v>
      </c>
      <c r="E18" s="10" t="s">
        <v>69</v>
      </c>
      <c r="F18" s="9" t="s">
        <v>95</v>
      </c>
      <c r="G18" s="10" t="s">
        <v>125</v>
      </c>
      <c r="H18" s="9" t="s">
        <v>142</v>
      </c>
      <c r="I18" s="10" t="s">
        <v>164</v>
      </c>
      <c r="J18" s="9">
        <v>1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6</v>
      </c>
      <c r="D19" s="7" t="s">
        <v>35</v>
      </c>
      <c r="E19" s="8" t="s">
        <v>70</v>
      </c>
      <c r="F19" s="7" t="s">
        <v>96</v>
      </c>
      <c r="G19" s="8" t="s">
        <v>126</v>
      </c>
      <c r="H19" s="7" t="s">
        <v>141</v>
      </c>
      <c r="I19" s="8" t="s">
        <v>174</v>
      </c>
      <c r="J19" s="7">
        <v>1</v>
      </c>
      <c r="K19" s="7"/>
    </row>
    <row r="20" spans="1:11" ht="24.75" thickBot="1" x14ac:dyDescent="0.3">
      <c r="A20" s="1"/>
      <c r="B20" s="11">
        <f t="shared" si="0"/>
        <v>18</v>
      </c>
      <c r="C20" s="13" t="s">
        <v>7</v>
      </c>
      <c r="D20" s="9" t="s">
        <v>36</v>
      </c>
      <c r="E20" s="10" t="s">
        <v>71</v>
      </c>
      <c r="F20" s="9" t="s">
        <v>175</v>
      </c>
      <c r="G20" s="10" t="s">
        <v>127</v>
      </c>
      <c r="H20" s="9" t="s">
        <v>146</v>
      </c>
      <c r="I20" s="8" t="s">
        <v>174</v>
      </c>
      <c r="J20" s="9">
        <v>1</v>
      </c>
      <c r="K20" s="9"/>
    </row>
    <row r="21" spans="1:11" ht="48.75" thickBot="1" x14ac:dyDescent="0.3">
      <c r="A21" s="1"/>
      <c r="B21" s="11">
        <f>ROW(B21) - ROW($B$2)</f>
        <v>19</v>
      </c>
      <c r="C21" s="12" t="s">
        <v>8</v>
      </c>
      <c r="D21" s="7" t="s">
        <v>37</v>
      </c>
      <c r="E21" s="8" t="s">
        <v>72</v>
      </c>
      <c r="F21" s="7" t="s">
        <v>97</v>
      </c>
      <c r="G21" s="8" t="s">
        <v>128</v>
      </c>
      <c r="H21" s="7" t="s">
        <v>147</v>
      </c>
      <c r="I21" s="8" t="s">
        <v>174</v>
      </c>
      <c r="J21" s="7">
        <v>1</v>
      </c>
      <c r="K21" s="7"/>
    </row>
    <row r="22" spans="1:11" ht="24.75" thickBot="1" x14ac:dyDescent="0.3">
      <c r="A22" s="1"/>
      <c r="B22" s="11">
        <f t="shared" si="0"/>
        <v>20</v>
      </c>
      <c r="C22" s="13" t="s">
        <v>9</v>
      </c>
      <c r="D22" s="9" t="s">
        <v>38</v>
      </c>
      <c r="E22" s="10" t="s">
        <v>73</v>
      </c>
      <c r="F22" s="9" t="s">
        <v>175</v>
      </c>
      <c r="G22" s="10" t="s">
        <v>98</v>
      </c>
      <c r="H22" s="9" t="s">
        <v>148</v>
      </c>
      <c r="I22" s="8" t="s">
        <v>174</v>
      </c>
      <c r="J22" s="9">
        <v>6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10</v>
      </c>
      <c r="D23" s="7" t="s">
        <v>39</v>
      </c>
      <c r="E23" s="8" t="s">
        <v>74</v>
      </c>
      <c r="F23" s="7" t="s">
        <v>99</v>
      </c>
      <c r="G23" s="8"/>
      <c r="H23" s="7"/>
      <c r="I23" s="8" t="s">
        <v>174</v>
      </c>
      <c r="J23" s="7">
        <v>5</v>
      </c>
      <c r="K23" s="7"/>
    </row>
    <row r="24" spans="1:11" ht="15.75" thickBot="1" x14ac:dyDescent="0.3">
      <c r="A24" s="1"/>
      <c r="B24" s="11">
        <f t="shared" si="0"/>
        <v>22</v>
      </c>
      <c r="C24" s="13" t="s">
        <v>11</v>
      </c>
      <c r="D24" s="9" t="s">
        <v>40</v>
      </c>
      <c r="E24" s="10" t="s">
        <v>75</v>
      </c>
      <c r="F24" s="9" t="s">
        <v>100</v>
      </c>
      <c r="G24" s="10" t="s">
        <v>129</v>
      </c>
      <c r="H24" s="9" t="s">
        <v>140</v>
      </c>
      <c r="I24" s="10" t="s">
        <v>165</v>
      </c>
      <c r="J24" s="9">
        <v>1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11</v>
      </c>
      <c r="D25" s="7" t="s">
        <v>41</v>
      </c>
      <c r="E25" s="8" t="s">
        <v>76</v>
      </c>
      <c r="F25" s="7" t="s">
        <v>100</v>
      </c>
      <c r="G25" s="8" t="s">
        <v>130</v>
      </c>
      <c r="H25" s="7" t="s">
        <v>140</v>
      </c>
      <c r="I25" s="8" t="s">
        <v>166</v>
      </c>
      <c r="J25" s="7">
        <v>2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12</v>
      </c>
      <c r="D26" s="9" t="s">
        <v>42</v>
      </c>
      <c r="E26" s="10" t="s">
        <v>77</v>
      </c>
      <c r="F26" s="9" t="s">
        <v>100</v>
      </c>
      <c r="G26" s="10" t="s">
        <v>131</v>
      </c>
      <c r="H26" s="9" t="s">
        <v>140</v>
      </c>
      <c r="I26" s="10" t="s">
        <v>167</v>
      </c>
      <c r="J26" s="9">
        <v>2</v>
      </c>
      <c r="K26" s="9"/>
    </row>
    <row r="27" spans="1:11" ht="36.75" thickBot="1" x14ac:dyDescent="0.3">
      <c r="A27" s="1"/>
      <c r="B27" s="11">
        <f>ROW(B27) - ROW($B$2)</f>
        <v>25</v>
      </c>
      <c r="C27" s="12" t="s">
        <v>11</v>
      </c>
      <c r="D27" s="7" t="s">
        <v>43</v>
      </c>
      <c r="E27" s="8" t="s">
        <v>78</v>
      </c>
      <c r="F27" s="7" t="s">
        <v>100</v>
      </c>
      <c r="G27" s="8" t="s">
        <v>132</v>
      </c>
      <c r="H27" s="7" t="s">
        <v>140</v>
      </c>
      <c r="I27" s="8" t="s">
        <v>168</v>
      </c>
      <c r="J27" s="7">
        <v>25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11</v>
      </c>
      <c r="D28" s="9" t="s">
        <v>44</v>
      </c>
      <c r="E28" s="10" t="s">
        <v>79</v>
      </c>
      <c r="F28" s="9" t="s">
        <v>100</v>
      </c>
      <c r="G28" s="10" t="s">
        <v>133</v>
      </c>
      <c r="H28" s="9" t="s">
        <v>140</v>
      </c>
      <c r="I28" s="10" t="s">
        <v>165</v>
      </c>
      <c r="J28" s="9">
        <v>1</v>
      </c>
      <c r="K28" s="9"/>
    </row>
    <row r="29" spans="1:11" ht="15.75" thickBot="1" x14ac:dyDescent="0.3">
      <c r="A29" s="1"/>
      <c r="B29" s="11">
        <f>ROW(B29) - ROW($B$2)</f>
        <v>27</v>
      </c>
      <c r="C29" s="12" t="s">
        <v>11</v>
      </c>
      <c r="D29" s="7" t="s">
        <v>45</v>
      </c>
      <c r="E29" s="8" t="s">
        <v>80</v>
      </c>
      <c r="F29" s="7" t="s">
        <v>101</v>
      </c>
      <c r="G29" s="8" t="s">
        <v>134</v>
      </c>
      <c r="H29" s="7" t="s">
        <v>140</v>
      </c>
      <c r="I29" s="8" t="s">
        <v>169</v>
      </c>
      <c r="J29" s="7">
        <v>1</v>
      </c>
      <c r="K29" s="7"/>
    </row>
    <row r="30" spans="1:11" ht="36.75" thickBot="1" x14ac:dyDescent="0.3">
      <c r="A30" s="1"/>
      <c r="B30" s="11">
        <f t="shared" si="0"/>
        <v>28</v>
      </c>
      <c r="C30" s="13" t="s">
        <v>13</v>
      </c>
      <c r="D30" s="9" t="s">
        <v>46</v>
      </c>
      <c r="E30" s="10" t="s">
        <v>81</v>
      </c>
      <c r="F30" s="9" t="s">
        <v>175</v>
      </c>
      <c r="G30" s="10" t="s">
        <v>102</v>
      </c>
      <c r="H30" s="9" t="s">
        <v>149</v>
      </c>
      <c r="I30" s="10" t="s">
        <v>174</v>
      </c>
      <c r="J30" s="9">
        <v>21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14</v>
      </c>
      <c r="D31" s="7" t="s">
        <v>47</v>
      </c>
      <c r="E31" s="8" t="s">
        <v>82</v>
      </c>
      <c r="F31" s="9" t="s">
        <v>175</v>
      </c>
      <c r="G31" s="8" t="s">
        <v>103</v>
      </c>
      <c r="H31" s="7" t="s">
        <v>150</v>
      </c>
      <c r="I31" s="10" t="s">
        <v>174</v>
      </c>
      <c r="J31" s="7">
        <v>1</v>
      </c>
      <c r="K31" s="7"/>
    </row>
    <row r="32" spans="1:11" ht="24.75" thickBot="1" x14ac:dyDescent="0.3">
      <c r="A32" s="1"/>
      <c r="B32" s="11">
        <f t="shared" si="0"/>
        <v>30</v>
      </c>
      <c r="C32" s="13" t="s">
        <v>15</v>
      </c>
      <c r="D32" s="9" t="s">
        <v>48</v>
      </c>
      <c r="E32" s="10" t="s">
        <v>83</v>
      </c>
      <c r="F32" s="9" t="s">
        <v>175</v>
      </c>
      <c r="G32" s="10" t="s">
        <v>104</v>
      </c>
      <c r="H32" s="9" t="s">
        <v>151</v>
      </c>
      <c r="I32" s="10" t="s">
        <v>174</v>
      </c>
      <c r="J32" s="9">
        <v>2</v>
      </c>
      <c r="K32" s="9"/>
    </row>
    <row r="33" spans="1:11" ht="15.75" thickBot="1" x14ac:dyDescent="0.3">
      <c r="A33" s="1"/>
      <c r="B33" s="11">
        <f>ROW(B33) - ROW($B$2)</f>
        <v>31</v>
      </c>
      <c r="C33" s="12" t="s">
        <v>16</v>
      </c>
      <c r="D33" s="7" t="s">
        <v>49</v>
      </c>
      <c r="E33" s="8" t="s">
        <v>84</v>
      </c>
      <c r="F33" s="7" t="s">
        <v>105</v>
      </c>
      <c r="G33" s="8" t="s">
        <v>135</v>
      </c>
      <c r="H33" s="7" t="s">
        <v>152</v>
      </c>
      <c r="I33" s="10" t="s">
        <v>174</v>
      </c>
      <c r="J33" s="7">
        <v>1</v>
      </c>
      <c r="K33" s="7"/>
    </row>
    <row r="34" spans="1:11" ht="15.75" thickBot="1" x14ac:dyDescent="0.3">
      <c r="A34" s="1"/>
      <c r="B34" s="11">
        <f t="shared" si="0"/>
        <v>32</v>
      </c>
      <c r="C34" s="13" t="s">
        <v>16</v>
      </c>
      <c r="D34" s="9" t="s">
        <v>50</v>
      </c>
      <c r="E34" s="10" t="s">
        <v>85</v>
      </c>
      <c r="F34" s="9" t="s">
        <v>106</v>
      </c>
      <c r="G34" s="10" t="s">
        <v>136</v>
      </c>
      <c r="H34" s="9" t="s">
        <v>153</v>
      </c>
      <c r="I34" s="10" t="s">
        <v>174</v>
      </c>
      <c r="J34" s="9">
        <v>1</v>
      </c>
      <c r="K34" s="9"/>
    </row>
    <row r="35" spans="1:11" ht="15.75" thickBot="1" x14ac:dyDescent="0.3">
      <c r="A35" s="1"/>
      <c r="B35" s="11">
        <f>ROW(B35) - ROW($B$2)</f>
        <v>33</v>
      </c>
      <c r="C35" s="12" t="s">
        <v>16</v>
      </c>
      <c r="D35" s="7" t="s">
        <v>51</v>
      </c>
      <c r="E35" s="8" t="s">
        <v>86</v>
      </c>
      <c r="F35" s="7" t="s">
        <v>107</v>
      </c>
      <c r="G35" s="8" t="s">
        <v>137</v>
      </c>
      <c r="H35" s="7" t="s">
        <v>152</v>
      </c>
      <c r="I35" s="10" t="s">
        <v>174</v>
      </c>
      <c r="J35" s="7">
        <v>1</v>
      </c>
      <c r="K35" s="7"/>
    </row>
    <row r="36" spans="1:11" ht="36.75" thickBot="1" x14ac:dyDescent="0.3">
      <c r="A36" s="1"/>
      <c r="B36" s="11">
        <f t="shared" si="0"/>
        <v>34</v>
      </c>
      <c r="C36" s="13" t="s">
        <v>17</v>
      </c>
      <c r="D36" s="9" t="s">
        <v>52</v>
      </c>
      <c r="E36" s="10" t="s">
        <v>87</v>
      </c>
      <c r="F36" s="9" t="s">
        <v>108</v>
      </c>
      <c r="G36" s="10" t="s">
        <v>138</v>
      </c>
      <c r="H36" s="9" t="s">
        <v>154</v>
      </c>
      <c r="I36" s="10" t="s">
        <v>170</v>
      </c>
      <c r="J36" s="9">
        <v>1</v>
      </c>
      <c r="K36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2025-06-02T15:34:49Z</dcterms:modified>
</cp:coreProperties>
</file>